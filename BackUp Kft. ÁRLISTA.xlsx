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ralj\Downloads\"/>
    </mc:Choice>
  </mc:AlternateContent>
  <xr:revisionPtr revIDLastSave="0" documentId="13_ncr:1_{8E49D067-6A0A-46D5-A08A-B4D365A280A4}" xr6:coauthVersionLast="47" xr6:coauthVersionMax="47" xr10:uidLastSave="{00000000-0000-0000-0000-000000000000}"/>
  <bookViews>
    <workbookView xWindow="-120" yWindow="-120" windowWidth="29040" windowHeight="15720" xr2:uid="{69C008BB-116E-4B9E-837F-96DF98BB6AE9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7" i="1"/>
  <c r="E6" i="1"/>
</calcChain>
</file>

<file path=xl/sharedStrings.xml><?xml version="1.0" encoding="utf-8"?>
<sst xmlns="http://schemas.openxmlformats.org/spreadsheetml/2006/main" count="34" uniqueCount="34">
  <si>
    <t>Eszköz típusa</t>
  </si>
  <si>
    <t>Összesen (Nettó HUF)</t>
  </si>
  <si>
    <t>Cisco Catalyst 8300-2N2S-6T</t>
  </si>
  <si>
    <t>4.200.000 Ft</t>
  </si>
  <si>
    <t>1.800.000 Ft</t>
  </si>
  <si>
    <t>6.000.000 Ft</t>
  </si>
  <si>
    <t>Összesen:</t>
  </si>
  <si>
    <t>3 éves Licenc (Nettó HUF)</t>
  </si>
  <si>
    <t>Hardver (Nettó HUF)</t>
  </si>
  <si>
    <t>C9800-L-C-K9</t>
  </si>
  <si>
    <t>C9115AXE-E x3</t>
  </si>
  <si>
    <t>1.150.000 Ft</t>
  </si>
  <si>
    <t>900.000 Ft</t>
  </si>
  <si>
    <t>210 000 Ft x3</t>
  </si>
  <si>
    <t>90 000 Ft x3</t>
  </si>
  <si>
    <t>219 600Ft</t>
  </si>
  <si>
    <t>Router(2x)</t>
  </si>
  <si>
    <t>Eszköz neve</t>
  </si>
  <si>
    <t>Switch(3x)</t>
  </si>
  <si>
    <t>Access Point (3x)</t>
  </si>
  <si>
    <t>Wireless LAN Controller</t>
  </si>
  <si>
    <t>C9200L-24T-4G-E</t>
  </si>
  <si>
    <t>401 368,00 Ft x3</t>
  </si>
  <si>
    <t>127 708,00 Ft x3</t>
  </si>
  <si>
    <t>1 587 228 Ft</t>
  </si>
  <si>
    <t>2 487 000 Ft</t>
  </si>
  <si>
    <t>Windows Server 2022 Standard</t>
  </si>
  <si>
    <t>2 827 719 Ft</t>
  </si>
  <si>
    <t>Dell PowerEdge R450</t>
  </si>
  <si>
    <t xml:space="preserve">Dell PowerEdge R640 (10XSFF) </t>
  </si>
  <si>
    <t>Storage Szerver (2x)</t>
  </si>
  <si>
    <t>Storage Szerver (20x)</t>
  </si>
  <si>
    <t>Samsung SSD PM1653</t>
  </si>
  <si>
    <t>Kábelek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</si>
</sst>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Ft&quot;;[Red]\-#,##0\ &quot;Ft&quot;"/>
    <numFmt numFmtId="173" formatCode="#,##0\ &quot;Ft&quot;"/>
  </numFmts>
  <fonts count="11" x14ac:knownFonts="1">
    <font>
      <sz val="11"/>
      <color theme="1"/>
      <name val="Aptos Narrow"/>
      <family val="2"/>
      <scheme val="minor"/>
    </font>
    <font>
      <b/>
      <sz val="11"/>
      <color rgb="FFE6E8F0"/>
      <name val="Arial"/>
      <family val="2"/>
    </font>
    <font>
      <sz val="11"/>
      <color rgb="FFE6E8F0"/>
      <name val="Arial"/>
      <family val="2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u/>
      <sz val="28"/>
      <color rgb="FF000000"/>
      <name val="Aptos"/>
      <family val="2"/>
    </font>
    <font>
      <b/>
      <i/>
      <sz val="2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Aptos Display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1"/>
      </left>
      <right/>
      <top/>
      <bottom style="thin">
        <color theme="0" tint="-0.14999847407452621"/>
      </bottom>
      <diagonal/>
    </border>
    <border>
      <left style="thin">
        <color theme="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0" fillId="0" borderId="3" xfId="0" applyBorder="1"/>
    <xf numFmtId="0" fontId="2" fillId="2" borderId="1" xfId="0" applyFont="1" applyFill="1" applyBorder="1" applyAlignment="1">
      <alignment vertical="top" wrapText="1" indent="1"/>
    </xf>
    <xf numFmtId="0" fontId="1" fillId="2" borderId="1" xfId="0" applyFont="1" applyFill="1" applyBorder="1" applyAlignment="1">
      <alignment vertical="top" wrapText="1"/>
    </xf>
    <xf numFmtId="0" fontId="0" fillId="0" borderId="4" xfId="0" applyBorder="1"/>
    <xf numFmtId="0" fontId="1" fillId="2" borderId="5" xfId="0" applyFont="1" applyFill="1" applyBorder="1" applyAlignment="1">
      <alignment vertical="top" wrapText="1"/>
    </xf>
    <xf numFmtId="0" fontId="3" fillId="2" borderId="2" xfId="0" applyFont="1" applyFill="1" applyBorder="1" applyAlignment="1">
      <alignment horizontal="left" wrapText="1"/>
    </xf>
    <xf numFmtId="0" fontId="4" fillId="0" borderId="6" xfId="0" applyFont="1" applyBorder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6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8" fillId="2" borderId="2" xfId="0" applyFont="1" applyFill="1" applyBorder="1" applyAlignment="1">
      <alignment horizontal="left" wrapText="1"/>
    </xf>
    <xf numFmtId="0" fontId="4" fillId="0" borderId="8" xfId="0" applyFont="1" applyBorder="1"/>
    <xf numFmtId="0" fontId="3" fillId="2" borderId="9" xfId="0" applyFont="1" applyFill="1" applyBorder="1" applyAlignment="1">
      <alignment horizontal="left" wrapText="1"/>
    </xf>
    <xf numFmtId="6" fontId="4" fillId="0" borderId="7" xfId="0" applyNumberFormat="1" applyFont="1" applyBorder="1" applyAlignment="1">
      <alignment horizontal="left"/>
    </xf>
    <xf numFmtId="6" fontId="3" fillId="2" borderId="2" xfId="0" applyNumberFormat="1" applyFont="1" applyFill="1" applyBorder="1" applyAlignment="1">
      <alignment horizontal="left" wrapText="1"/>
    </xf>
    <xf numFmtId="6" fontId="4" fillId="0" borderId="8" xfId="0" applyNumberFormat="1" applyFont="1" applyBorder="1" applyAlignment="1">
      <alignment horizontal="left"/>
    </xf>
    <xf numFmtId="6" fontId="5" fillId="0" borderId="0" xfId="0" applyNumberFormat="1" applyFont="1"/>
    <xf numFmtId="0" fontId="9" fillId="0" borderId="0" xfId="0" applyFont="1"/>
    <xf numFmtId="0" fontId="9" fillId="0" borderId="6" xfId="0" applyFont="1" applyBorder="1"/>
    <xf numFmtId="0" fontId="4" fillId="0" borderId="0" xfId="0" applyFont="1"/>
    <xf numFmtId="0" fontId="0" fillId="0" borderId="6" xfId="0" applyFont="1" applyBorder="1"/>
    <xf numFmtId="0" fontId="0" fillId="0" borderId="7" xfId="0" applyFont="1" applyBorder="1"/>
    <xf numFmtId="0" fontId="4" fillId="0" borderId="10" xfId="0" applyFont="1" applyBorder="1" applyAlignment="1">
      <alignment horizontal="left"/>
    </xf>
    <xf numFmtId="6" fontId="4" fillId="0" borderId="11" xfId="0" applyNumberFormat="1" applyFont="1" applyBorder="1" applyAlignment="1">
      <alignment horizontal="left"/>
    </xf>
    <xf numFmtId="0" fontId="0" fillId="0" borderId="10" xfId="0" applyFont="1" applyBorder="1"/>
    <xf numFmtId="6" fontId="4" fillId="0" borderId="12" xfId="0" applyNumberFormat="1" applyFont="1" applyBorder="1" applyAlignment="1">
      <alignment horizontal="left"/>
    </xf>
    <xf numFmtId="0" fontId="10" fillId="0" borderId="6" xfId="0" applyFont="1" applyBorder="1" applyAlignment="1">
      <alignment vertical="center" wrapText="1"/>
    </xf>
    <xf numFmtId="173" fontId="4" fillId="0" borderId="0" xfId="0" applyNumberFormat="1" applyFont="1" applyAlignment="1">
      <alignment horizontal="left"/>
    </xf>
    <xf numFmtId="6" fontId="4" fillId="0" borderId="6" xfId="0" applyNumberFormat="1" applyFont="1" applyBorder="1" applyAlignment="1">
      <alignment horizontal="left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21D00-02D7-4444-AE06-8BB28B5DDC0D}">
  <dimension ref="A1:G25"/>
  <sheetViews>
    <sheetView tabSelected="1" workbookViewId="0">
      <selection activeCell="B19" sqref="B19"/>
    </sheetView>
  </sheetViews>
  <sheetFormatPr defaultRowHeight="15" x14ac:dyDescent="0.25"/>
  <cols>
    <col min="1" max="1" width="36" customWidth="1"/>
    <col min="2" max="2" width="32.28515625" customWidth="1"/>
    <col min="3" max="3" width="29.7109375" customWidth="1"/>
    <col min="4" max="4" width="39.5703125" customWidth="1"/>
    <col min="5" max="5" width="37" customWidth="1"/>
  </cols>
  <sheetData>
    <row r="1" spans="1:7" ht="24.75" customHeight="1" x14ac:dyDescent="0.35">
      <c r="A1" s="13" t="s">
        <v>17</v>
      </c>
      <c r="B1" s="13" t="s">
        <v>0</v>
      </c>
      <c r="C1" s="13" t="s">
        <v>8</v>
      </c>
      <c r="D1" s="13" t="s">
        <v>7</v>
      </c>
      <c r="E1" s="13" t="s">
        <v>1</v>
      </c>
    </row>
    <row r="2" spans="1:7" ht="29.25" customHeight="1" x14ac:dyDescent="0.25">
      <c r="A2" s="7" t="s">
        <v>16</v>
      </c>
      <c r="B2" s="7" t="s">
        <v>2</v>
      </c>
      <c r="C2" s="7" t="s">
        <v>3</v>
      </c>
      <c r="D2" s="7" t="s">
        <v>4</v>
      </c>
      <c r="E2" s="7" t="s">
        <v>5</v>
      </c>
    </row>
    <row r="3" spans="1:7" ht="24.75" customHeight="1" x14ac:dyDescent="0.25">
      <c r="A3" s="7" t="s">
        <v>18</v>
      </c>
      <c r="B3" s="20" t="s">
        <v>21</v>
      </c>
      <c r="C3" s="7" t="s">
        <v>22</v>
      </c>
      <c r="D3" s="7" t="s">
        <v>23</v>
      </c>
      <c r="E3" s="7" t="s">
        <v>24</v>
      </c>
    </row>
    <row r="4" spans="1:7" ht="24" customHeight="1" x14ac:dyDescent="0.25">
      <c r="A4" s="7" t="s">
        <v>20</v>
      </c>
      <c r="B4" s="7" t="s">
        <v>9</v>
      </c>
      <c r="C4" s="17">
        <v>750000</v>
      </c>
      <c r="D4" s="17">
        <v>400000</v>
      </c>
      <c r="E4" s="7" t="s">
        <v>11</v>
      </c>
      <c r="F4" s="5"/>
      <c r="G4" s="2"/>
    </row>
    <row r="5" spans="1:7" ht="24" customHeight="1" x14ac:dyDescent="0.25">
      <c r="A5" s="15" t="s">
        <v>19</v>
      </c>
      <c r="B5" s="7" t="s">
        <v>10</v>
      </c>
      <c r="C5" s="7" t="s">
        <v>13</v>
      </c>
      <c r="D5" s="7" t="s">
        <v>14</v>
      </c>
      <c r="E5" s="7" t="s">
        <v>12</v>
      </c>
      <c r="F5" s="6"/>
      <c r="G5" s="1"/>
    </row>
    <row r="6" spans="1:7" ht="24.75" customHeight="1" x14ac:dyDescent="0.25">
      <c r="A6" s="25" t="s">
        <v>30</v>
      </c>
      <c r="B6" s="22" t="s">
        <v>29</v>
      </c>
      <c r="C6" s="30">
        <v>388000</v>
      </c>
      <c r="D6" s="27"/>
      <c r="E6" s="28">
        <f>20*C6</f>
        <v>7760000</v>
      </c>
      <c r="F6" s="6"/>
      <c r="G6" s="1"/>
    </row>
    <row r="7" spans="1:7" ht="21" customHeight="1" x14ac:dyDescent="0.25">
      <c r="A7" s="21" t="s">
        <v>31</v>
      </c>
      <c r="B7" s="29" t="s">
        <v>32</v>
      </c>
      <c r="C7" s="26">
        <v>1642277</v>
      </c>
      <c r="D7" s="9"/>
      <c r="E7" s="31">
        <f>20*C7</f>
        <v>32845540</v>
      </c>
    </row>
    <row r="8" spans="1:7" ht="15.75" x14ac:dyDescent="0.25">
      <c r="A8" s="11" t="s">
        <v>26</v>
      </c>
      <c r="B8" s="8" t="s">
        <v>28</v>
      </c>
      <c r="C8" s="16">
        <v>1700000</v>
      </c>
      <c r="D8" s="21" t="s">
        <v>25</v>
      </c>
      <c r="E8" s="18" t="s">
        <v>27</v>
      </c>
    </row>
    <row r="9" spans="1:7" ht="15.75" x14ac:dyDescent="0.25">
      <c r="A9" s="11" t="s">
        <v>33</v>
      </c>
      <c r="B9" s="23"/>
      <c r="C9" s="24"/>
      <c r="D9" s="23"/>
      <c r="E9" s="14" t="s">
        <v>15</v>
      </c>
      <c r="F9" s="2"/>
      <c r="G9" s="2"/>
    </row>
    <row r="10" spans="1:7" ht="36" x14ac:dyDescent="0.55000000000000004">
      <c r="A10" s="12" t="s">
        <v>6</v>
      </c>
      <c r="E10" s="19">
        <f>SUM(E2:E9)</f>
        <v>40605540</v>
      </c>
      <c r="F10" s="1"/>
      <c r="G10" s="1"/>
    </row>
    <row r="11" spans="1:7" x14ac:dyDescent="0.25">
      <c r="F11" s="3"/>
      <c r="G11" s="4"/>
    </row>
    <row r="19" spans="1:5" ht="19.5" customHeight="1" x14ac:dyDescent="0.25"/>
    <row r="20" spans="1:5" ht="23.25" customHeight="1" x14ac:dyDescent="0.25">
      <c r="E20" s="10"/>
    </row>
    <row r="23" spans="1:5" ht="15.75" x14ac:dyDescent="0.25">
      <c r="A23" s="10"/>
      <c r="B23" s="10"/>
      <c r="C23" s="10"/>
      <c r="D23" s="10"/>
      <c r="E23" s="10"/>
    </row>
    <row r="25" spans="1:5" ht="15.75" x14ac:dyDescent="0.25">
      <c r="B25" s="10"/>
      <c r="C25" s="10"/>
      <c r="D25" s="10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Andras Lamp</dc:creator>
  <cp:lastModifiedBy>Kraljevic Darjan</cp:lastModifiedBy>
  <dcterms:created xsi:type="dcterms:W3CDTF">2026-01-28T18:34:44Z</dcterms:created>
  <dcterms:modified xsi:type="dcterms:W3CDTF">2026-04-15T18:54:17Z</dcterms:modified>
</cp:coreProperties>
</file>